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ダクト圧損・風量配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5" fontId="2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26" customWidth="1" min="3" max="3"/>
    <col width="8" customWidth="1" min="4" max="4"/>
    <col width="7" customWidth="1" min="5" max="5"/>
    <col width="7" customWidth="1" min="6" max="6"/>
    <col width="7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8" customWidth="1" min="16" max="16"/>
  </cols>
  <sheetData>
    <row r="1">
      <c r="A1" s="1" t="inlineStr">
        <is>
          <t>ダクト圧損と吹出口ごとの風量配分（第8回p56 原単位による簡易法）</t>
        </is>
      </c>
    </row>
    <row r="3">
      <c r="A3" t="inlineStr">
        <is>
          <t>全風量（㎥/h）</t>
        </is>
      </c>
      <c r="B3" s="2" t="n">
        <v>452.39</v>
      </c>
      <c r="C3" t="inlineStr">
        <is>
          <t>冬朝シート O12（φ200×4.00m/s）。夏は 437.7（φ200×3.87m/s）</t>
        </is>
      </c>
    </row>
    <row r="4">
      <c r="A4" t="inlineStr">
        <is>
          <t>チャンバー分岐数</t>
        </is>
      </c>
      <c r="B4" s="2" t="n">
        <v>7</v>
      </c>
      <c r="C4" t="inlineStr">
        <is>
          <t>FY-BBH081 7分岐チャンバー（φ200×1→φ100×7）</t>
        </is>
      </c>
    </row>
    <row r="5">
      <c r="A5" t="inlineStr">
        <is>
          <t>直管（Pa/m）</t>
        </is>
      </c>
      <c r="B5" s="2" t="n">
        <v>1</v>
      </c>
      <c r="C5" t="inlineStr">
        <is>
          <t>第8回p56</t>
        </is>
      </c>
    </row>
    <row r="6">
      <c r="A6" t="inlineStr">
        <is>
          <t>曲がり（Pa/箇所）</t>
        </is>
      </c>
      <c r="B6" s="2" t="n">
        <v>1.5</v>
      </c>
      <c r="C6" t="inlineStr">
        <is>
          <t>第8回p56</t>
        </is>
      </c>
    </row>
    <row r="7">
      <c r="A7" t="inlineStr">
        <is>
          <t>分岐（Pa/箇所）</t>
        </is>
      </c>
      <c r="B7" s="2" t="n">
        <v>3</v>
      </c>
      <c r="C7" t="inlineStr">
        <is>
          <t>第8回p56（チャンバー・Y管）</t>
        </is>
      </c>
    </row>
    <row r="8">
      <c r="A8" t="inlineStr">
        <is>
          <t>吹出（Pa/箇所）</t>
        </is>
      </c>
      <c r="B8" s="2" t="n">
        <v>3</v>
      </c>
      <c r="C8" t="inlineStr">
        <is>
          <t>第8回p56</t>
        </is>
      </c>
    </row>
    <row r="9">
      <c r="A9" t="inlineStr">
        <is>
          <t>基準風量 Qr（㎥/h）</t>
        </is>
      </c>
      <c r="B9">
        <f>B3/B4</f>
        <v/>
      </c>
      <c r="C9" t="inlineStr">
        <is>
          <t>原単位が成り立つ風量＝1枝あたりの平均。ΔP は風量の2乗に比例とする</t>
        </is>
      </c>
    </row>
    <row r="10">
      <c r="A10" t="inlineStr">
        <is>
          <t>φ100 断面積（㎡）</t>
        </is>
      </c>
      <c r="B10">
        <f>PI()*0.05^2</f>
        <v/>
      </c>
      <c r="C10" t="inlineStr"/>
    </row>
    <row r="13">
      <c r="A13" s="3" t="inlineStr">
        <is>
          <t>枝</t>
        </is>
      </c>
      <c r="B13" s="3" t="inlineStr">
        <is>
          <t>区間</t>
        </is>
      </c>
      <c r="C13" s="3" t="inlineStr">
        <is>
          <t>行き先</t>
        </is>
      </c>
      <c r="D13" s="3" t="inlineStr">
        <is>
          <t>直管 m</t>
        </is>
      </c>
      <c r="E13" s="3" t="inlineStr">
        <is>
          <t>曲がり</t>
        </is>
      </c>
      <c r="F13" s="3" t="inlineStr">
        <is>
          <t>分岐</t>
        </is>
      </c>
      <c r="G13" s="3" t="inlineStr">
        <is>
          <t>吹出</t>
        </is>
      </c>
      <c r="H13" s="3" t="inlineStr">
        <is>
          <t>原単位ΔP（Pa）</t>
        </is>
      </c>
      <c r="I13" s="3" t="inlineStr">
        <is>
          <t>抵抗 r</t>
        </is>
      </c>
      <c r="J13" s="3" t="inlineStr">
        <is>
          <t>並列等価 r</t>
        </is>
      </c>
      <c r="K13" s="3" t="inlineStr">
        <is>
          <t>枝の r</t>
        </is>
      </c>
      <c r="L13" s="3" t="inlineStr">
        <is>
          <t>1/√r</t>
        </is>
      </c>
      <c r="M13" s="3" t="inlineStr">
        <is>
          <t>風量（㎥/h）</t>
        </is>
      </c>
      <c r="N13" s="3" t="inlineStr">
        <is>
          <t>φ100 風速（m/s）</t>
        </is>
      </c>
      <c r="O13" s="3" t="inlineStr">
        <is>
          <t>均等9箇所の仮定</t>
        </is>
      </c>
      <c r="P13" s="3" t="inlineStr">
        <is>
          <t>メモ</t>
        </is>
      </c>
    </row>
    <row r="14">
      <c r="A14" s="4" t="inlineStr">
        <is>
          <t>①納戸</t>
        </is>
      </c>
      <c r="B14" s="4" t="inlineStr">
        <is>
          <t>共通</t>
        </is>
      </c>
      <c r="C14" s="4" t="inlineStr">
        <is>
          <t>2F→①立下り→Y管E</t>
        </is>
      </c>
      <c r="D14" s="5" t="n">
        <v>4.4</v>
      </c>
      <c r="E14" s="5" t="n">
        <v>4</v>
      </c>
      <c r="F14" s="5" t="n">
        <v>2</v>
      </c>
      <c r="G14" s="5" t="n">
        <v>0</v>
      </c>
      <c r="H14" s="6">
        <f>D14*$B$5+E14*$B$6+F14*$B$7+G14*$B$8</f>
        <v/>
      </c>
      <c r="I14" s="7">
        <f>H14/$B$9^2</f>
        <v/>
      </c>
      <c r="J14" s="7">
        <f>1/(1/SQRT(I15)+1/SQRT(I16))^2</f>
        <v/>
      </c>
      <c r="K14" s="7">
        <f>I14+J14</f>
        <v/>
      </c>
      <c r="L14" s="6">
        <f>1/SQRT(K14)</f>
        <v/>
      </c>
      <c r="M14" s="6">
        <f>$B$3*L14/$L$25</f>
        <v/>
      </c>
      <c r="N14" s="8">
        <f>M14/3600/$B$10</f>
        <v/>
      </c>
      <c r="O14" s="6" t="n"/>
      <c r="P14" s="4" t="n"/>
    </row>
    <row r="15">
      <c r="A15" s="4" t="inlineStr"/>
      <c r="B15" s="4" t="inlineStr">
        <is>
          <t>脚A</t>
        </is>
      </c>
      <c r="C15" s="4" t="inlineStr">
        <is>
          <t>納戸（玄関側）</t>
        </is>
      </c>
      <c r="D15" s="5" t="n">
        <v>1.5</v>
      </c>
      <c r="E15" s="5" t="n">
        <v>1</v>
      </c>
      <c r="F15" s="5" t="n">
        <v>0</v>
      </c>
      <c r="G15" s="5" t="n">
        <v>1</v>
      </c>
      <c r="H15" s="6">
        <f>D15*$B$5+E15*$B$6+F15*$B$7+G15*$B$8</f>
        <v/>
      </c>
      <c r="I15" s="7">
        <f>H15/$B$9^2</f>
        <v/>
      </c>
      <c r="J15" s="7" t="n"/>
      <c r="K15" s="7" t="n"/>
      <c r="L15" s="6" t="n"/>
      <c r="M15" s="6">
        <f>M14*(1/SQRT(I15))/(1/SQRT(I15)+1/SQRT(I16))</f>
        <v/>
      </c>
      <c r="N15" s="8">
        <f>M15/3600/$B$10</f>
        <v/>
      </c>
      <c r="O15" s="6">
        <f>$B$3/9</f>
        <v/>
      </c>
      <c r="P15" s="4" t="n"/>
    </row>
    <row r="16">
      <c r="A16" s="4" t="inlineStr"/>
      <c r="B16" s="4" t="inlineStr">
        <is>
          <t>脚B</t>
        </is>
      </c>
      <c r="C16" s="4" t="inlineStr">
        <is>
          <t>納戸（奥）</t>
        </is>
      </c>
      <c r="D16" s="5" t="n">
        <v>4.4</v>
      </c>
      <c r="E16" s="5" t="n">
        <v>2</v>
      </c>
      <c r="F16" s="5" t="n">
        <v>0</v>
      </c>
      <c r="G16" s="5" t="n">
        <v>1</v>
      </c>
      <c r="H16" s="6">
        <f>D16*$B$5+E16*$B$6+F16*$B$7+G16*$B$8</f>
        <v/>
      </c>
      <c r="I16" s="7">
        <f>H16/$B$9^2</f>
        <v/>
      </c>
      <c r="J16" s="7" t="n"/>
      <c r="K16" s="7" t="n"/>
      <c r="L16" s="6" t="n"/>
      <c r="M16" s="6">
        <f>M14*(1/SQRT(I16))/(1/SQRT(I15)+1/SQRT(I16))</f>
        <v/>
      </c>
      <c r="N16" s="8">
        <f>M16/3600/$B$10</f>
        <v/>
      </c>
      <c r="O16" s="6">
        <f>$B$3/9</f>
        <v/>
      </c>
      <c r="P16" s="4" t="n"/>
    </row>
    <row r="17">
      <c r="A17" s="4" t="inlineStr">
        <is>
          <t>②玄関</t>
        </is>
      </c>
      <c r="B17" s="4" t="inlineStr">
        <is>
          <t>単独</t>
        </is>
      </c>
      <c r="C17" s="4" t="inlineStr">
        <is>
          <t>2F→②立下り→玄関</t>
        </is>
      </c>
      <c r="D17" s="5" t="n">
        <v>4</v>
      </c>
      <c r="E17" s="5" t="n">
        <v>5</v>
      </c>
      <c r="F17" s="5" t="n">
        <v>1</v>
      </c>
      <c r="G17" s="5" t="n">
        <v>1</v>
      </c>
      <c r="H17" s="6">
        <f>D17*$B$5+E17*$B$6+F17*$B$7+G17*$B$8</f>
        <v/>
      </c>
      <c r="I17" s="7">
        <f>H17/$B$9^2</f>
        <v/>
      </c>
      <c r="J17" s="7" t="n"/>
      <c r="K17" s="7">
        <f>I17</f>
        <v/>
      </c>
      <c r="L17" s="6">
        <f>1/SQRT(K17)</f>
        <v/>
      </c>
      <c r="M17" s="6">
        <f>$B$3*L17/$L$25</f>
        <v/>
      </c>
      <c r="N17" s="8">
        <f>M17/3600/$B$10</f>
        <v/>
      </c>
      <c r="O17" s="6">
        <f>$B$3/9</f>
        <v/>
      </c>
      <c r="P17" s="4" t="n"/>
    </row>
    <row r="18">
      <c r="A18" s="4" t="inlineStr">
        <is>
          <t>ヌック</t>
        </is>
      </c>
      <c r="B18" s="4" t="inlineStr">
        <is>
          <t>単独</t>
        </is>
      </c>
      <c r="C18" s="4" t="inlineStr">
        <is>
          <t>2F ヌック</t>
        </is>
      </c>
      <c r="D18" s="5" t="n">
        <v>5.3</v>
      </c>
      <c r="E18" s="5" t="n">
        <v>4</v>
      </c>
      <c r="F18" s="5" t="n">
        <v>1</v>
      </c>
      <c r="G18" s="5" t="n">
        <v>1</v>
      </c>
      <c r="H18" s="6">
        <f>D18*$B$5+E18*$B$6+F18*$B$7+G18*$B$8</f>
        <v/>
      </c>
      <c r="I18" s="7">
        <f>H18/$B$9^2</f>
        <v/>
      </c>
      <c r="J18" s="7" t="n"/>
      <c r="K18" s="7">
        <f>I18</f>
        <v/>
      </c>
      <c r="L18" s="6">
        <f>1/SQRT(K18)</f>
        <v/>
      </c>
      <c r="M18" s="6">
        <f>$B$3*L18/$L$25</f>
        <v/>
      </c>
      <c r="N18" s="8">
        <f>M18/3600/$B$10</f>
        <v/>
      </c>
      <c r="O18" s="6">
        <f>$B$3/9</f>
        <v/>
      </c>
      <c r="P18" s="4" t="n"/>
    </row>
    <row r="19">
      <c r="A19" s="4" t="inlineStr">
        <is>
          <t>LDK</t>
        </is>
      </c>
      <c r="B19" s="4" t="inlineStr">
        <is>
          <t>単独</t>
        </is>
      </c>
      <c r="C19" s="4" t="inlineStr">
        <is>
          <t>2F LDK</t>
        </is>
      </c>
      <c r="D19" s="5" t="n">
        <v>3.7</v>
      </c>
      <c r="E19" s="5" t="n">
        <v>3</v>
      </c>
      <c r="F19" s="5" t="n">
        <v>1</v>
      </c>
      <c r="G19" s="5" t="n">
        <v>1</v>
      </c>
      <c r="H19" s="6">
        <f>D19*$B$5+E19*$B$6+F19*$B$7+G19*$B$8</f>
        <v/>
      </c>
      <c r="I19" s="7">
        <f>H19/$B$9^2</f>
        <v/>
      </c>
      <c r="J19" s="7" t="n"/>
      <c r="K19" s="7">
        <f>I19</f>
        <v/>
      </c>
      <c r="L19" s="6">
        <f>1/SQRT(K19)</f>
        <v/>
      </c>
      <c r="M19" s="6">
        <f>$B$3*L19/$L$25</f>
        <v/>
      </c>
      <c r="N19" s="8">
        <f>M19/3600/$B$10</f>
        <v/>
      </c>
      <c r="O19" s="6">
        <f>$B$3/9</f>
        <v/>
      </c>
      <c r="P19" s="4" t="n"/>
    </row>
    <row r="20">
      <c r="A20" s="4" t="inlineStr">
        <is>
          <t>CL前</t>
        </is>
      </c>
      <c r="B20" s="4" t="inlineStr">
        <is>
          <t>単独</t>
        </is>
      </c>
      <c r="C20" s="4" t="inlineStr">
        <is>
          <t>2F CL前（階段横）</t>
        </is>
      </c>
      <c r="D20" s="5" t="n">
        <v>5.3</v>
      </c>
      <c r="E20" s="5" t="n">
        <v>4</v>
      </c>
      <c r="F20" s="5" t="n">
        <v>1</v>
      </c>
      <c r="G20" s="5" t="n">
        <v>1</v>
      </c>
      <c r="H20" s="6">
        <f>D20*$B$5+E20*$B$6+F20*$B$7+G20*$B$8</f>
        <v/>
      </c>
      <c r="I20" s="7">
        <f>H20/$B$9^2</f>
        <v/>
      </c>
      <c r="J20" s="7" t="n"/>
      <c r="K20" s="7">
        <f>I20</f>
        <v/>
      </c>
      <c r="L20" s="6">
        <f>1/SQRT(K20)</f>
        <v/>
      </c>
      <c r="M20" s="6">
        <f>$B$3*L20/$L$25</f>
        <v/>
      </c>
      <c r="N20" s="8">
        <f>M20/3600/$B$10</f>
        <v/>
      </c>
      <c r="O20" s="6">
        <f>$B$3/9</f>
        <v/>
      </c>
      <c r="P20" s="4" t="n"/>
    </row>
    <row r="21">
      <c r="A21" s="4" t="inlineStr">
        <is>
          <t>J脱衣/WIC</t>
        </is>
      </c>
      <c r="B21" s="4" t="inlineStr">
        <is>
          <t>共通</t>
        </is>
      </c>
      <c r="C21" s="4" t="inlineStr">
        <is>
          <t>2F→Y管J</t>
        </is>
      </c>
      <c r="D21" s="5" t="n">
        <v>4.2</v>
      </c>
      <c r="E21" s="5" t="n">
        <v>3</v>
      </c>
      <c r="F21" s="5" t="n">
        <v>2</v>
      </c>
      <c r="G21" s="5" t="n">
        <v>0</v>
      </c>
      <c r="H21" s="6">
        <f>D21*$B$5+E21*$B$6+F21*$B$7+G21*$B$8</f>
        <v/>
      </c>
      <c r="I21" s="7">
        <f>H21/$B$9^2</f>
        <v/>
      </c>
      <c r="J21" s="7">
        <f>1/(1/SQRT(I22)+1/SQRT(I23))^2</f>
        <v/>
      </c>
      <c r="K21" s="7">
        <f>I21+J21</f>
        <v/>
      </c>
      <c r="L21" s="6">
        <f>1/SQRT(K21)</f>
        <v/>
      </c>
      <c r="M21" s="6">
        <f>$B$3*L21/$L$25</f>
        <v/>
      </c>
      <c r="N21" s="8">
        <f>M21/3600/$B$10</f>
        <v/>
      </c>
      <c r="O21" s="6" t="n"/>
      <c r="P21" s="4" t="n"/>
    </row>
    <row r="22">
      <c r="A22" s="4" t="inlineStr"/>
      <c r="B22" s="4" t="inlineStr">
        <is>
          <t>脚A</t>
        </is>
      </c>
      <c r="C22" s="4" t="inlineStr">
        <is>
          <t>脱衣（2F）</t>
        </is>
      </c>
      <c r="D22" s="5" t="n">
        <v>4.5</v>
      </c>
      <c r="E22" s="5" t="n">
        <v>2</v>
      </c>
      <c r="F22" s="5" t="n">
        <v>0</v>
      </c>
      <c r="G22" s="5" t="n">
        <v>1</v>
      </c>
      <c r="H22" s="6">
        <f>D22*$B$5+E22*$B$6+F22*$B$7+G22*$B$8</f>
        <v/>
      </c>
      <c r="I22" s="7">
        <f>H22/$B$9^2</f>
        <v/>
      </c>
      <c r="J22" s="7" t="n"/>
      <c r="K22" s="7" t="n"/>
      <c r="L22" s="6" t="n"/>
      <c r="M22" s="6">
        <f>M21*(1/SQRT(I22))/(1/SQRT(I22)+1/SQRT(I23))</f>
        <v/>
      </c>
      <c r="N22" s="8">
        <f>M22/3600/$B$10</f>
        <v/>
      </c>
      <c r="O22" s="6">
        <f>$B$3/9</f>
        <v/>
      </c>
      <c r="P22" s="4" t="n"/>
    </row>
    <row r="23">
      <c r="A23" s="4" t="inlineStr"/>
      <c r="B23" s="4" t="inlineStr">
        <is>
          <t>脚B</t>
        </is>
      </c>
      <c r="C23" s="4" t="inlineStr">
        <is>
          <t>WIC（⑤立下り）</t>
        </is>
      </c>
      <c r="D23" s="5" t="n">
        <v>7.2</v>
      </c>
      <c r="E23" s="5" t="n">
        <v>6</v>
      </c>
      <c r="F23" s="5" t="n">
        <v>0</v>
      </c>
      <c r="G23" s="5" t="n">
        <v>1</v>
      </c>
      <c r="H23" s="6">
        <f>D23*$B$5+E23*$B$6+F23*$B$7+G23*$B$8</f>
        <v/>
      </c>
      <c r="I23" s="7">
        <f>H23/$B$9^2</f>
        <v/>
      </c>
      <c r="J23" s="7" t="n"/>
      <c r="K23" s="7" t="n"/>
      <c r="L23" s="6" t="n"/>
      <c r="M23" s="6">
        <f>M21*(1/SQRT(I23))/(1/SQRT(I22)+1/SQRT(I23))</f>
        <v/>
      </c>
      <c r="N23" s="8">
        <f>M23/3600/$B$10</f>
        <v/>
      </c>
      <c r="O23" s="6">
        <f>$B$3/9</f>
        <v/>
      </c>
      <c r="P23" s="4" t="n"/>
    </row>
    <row r="24">
      <c r="A24" s="4" t="inlineStr">
        <is>
          <t>④主寝室</t>
        </is>
      </c>
      <c r="B24" s="4" t="inlineStr">
        <is>
          <t>単独</t>
        </is>
      </c>
      <c r="C24" s="4" t="inlineStr">
        <is>
          <t>2F→④立下り→主寝室</t>
        </is>
      </c>
      <c r="D24" s="5" t="n">
        <v>12.2</v>
      </c>
      <c r="E24" s="5" t="n">
        <v>7</v>
      </c>
      <c r="F24" s="5" t="n">
        <v>1</v>
      </c>
      <c r="G24" s="5" t="n">
        <v>1</v>
      </c>
      <c r="H24" s="6">
        <f>D24*$B$5+E24*$B$6+F24*$B$7+G24*$B$8</f>
        <v/>
      </c>
      <c r="I24" s="7">
        <f>H24/$B$9^2</f>
        <v/>
      </c>
      <c r="J24" s="7" t="n"/>
      <c r="K24" s="7">
        <f>I24</f>
        <v/>
      </c>
      <c r="L24" s="6">
        <f>1/SQRT(K24)</f>
        <v/>
      </c>
      <c r="M24" s="6">
        <f>$B$3*L24/$L$25</f>
        <v/>
      </c>
      <c r="N24" s="8">
        <f>M24/3600/$B$10</f>
        <v/>
      </c>
      <c r="O24" s="6">
        <f>$B$3/9</f>
        <v/>
      </c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6" t="n"/>
      <c r="I25" s="7" t="n"/>
      <c r="J25" s="7" t="n"/>
      <c r="K25" s="9" t="inlineStr">
        <is>
          <t>Σ1/√r</t>
        </is>
      </c>
      <c r="L25" s="6">
        <f>L14+L17+L18+L19+L20+L21+L24</f>
        <v/>
      </c>
      <c r="M25" s="6" t="n"/>
      <c r="N25" s="8" t="n"/>
      <c r="O25" s="6" t="n"/>
      <c r="P25" s="4" t="n"/>
    </row>
    <row r="27">
      <c r="A27" s="10" t="inlineStr">
        <is>
          <t>■ 結果</t>
        </is>
      </c>
    </row>
    <row r="28">
      <c r="A28" t="inlineStr">
        <is>
          <t>チャンバー出口から吹出までの圧損（Pa）</t>
        </is>
      </c>
      <c r="B28" s="11">
        <f>K14*M14^2</f>
        <v/>
      </c>
    </row>
    <row r="29">
      <c r="A29" t="inlineStr">
        <is>
          <t>主寝室＋WIC の風量（㎥/h）</t>
        </is>
      </c>
      <c r="B29" s="11">
        <f>M24+M23</f>
        <v/>
      </c>
    </row>
    <row r="30">
      <c r="A30" t="inlineStr">
        <is>
          <t xml:space="preserve">　均等9箇所の仮定（2本分）</t>
        </is>
      </c>
      <c r="B30" s="11">
        <f>$B$3/9*2</f>
        <v/>
      </c>
    </row>
    <row r="31">
      <c r="A31" t="inlineStr">
        <is>
          <t>玄関の風量（㎥/h）</t>
        </is>
      </c>
      <c r="B31" s="11">
        <f>M17</f>
        <v/>
      </c>
    </row>
    <row r="32">
      <c r="A32" t="inlineStr">
        <is>
          <t xml:space="preserve">　玄関の必要風量（冬朝・別途計算）</t>
        </is>
      </c>
      <c r="B32" s="11" t="n">
        <v>59.6</v>
      </c>
    </row>
    <row r="33">
      <c r="A33" t="inlineStr">
        <is>
          <t>メーカー システム抵抗曲線での静圧（Pa）</t>
        </is>
      </c>
      <c r="B33" s="11">
        <f>200*(B3/700)^2</f>
        <v/>
      </c>
    </row>
    <row r="35">
      <c r="A35" s="10" t="inlineStr">
        <is>
          <t>■ 前提・根拠</t>
        </is>
      </c>
    </row>
    <row r="36">
      <c r="A36" s="12" t="inlineStr">
        <is>
          <t>・ダクト経路は「ディライト ウィズエアー 換気プラン図 1F/2F（V-upⅢ 2026/03/16）」から読み取り。</t>
        </is>
      </c>
    </row>
    <row r="37">
      <c r="A37" s="12" t="inlineStr">
        <is>
          <t>・吹出口9箇所はチャンバー7枝から出る。Y管E（1F）で納戸2箇所、Y管J（2F）で脱衣とWICに分かれる。</t>
        </is>
      </c>
    </row>
    <row r="38">
      <c r="A38" s="12" t="inlineStr">
        <is>
          <t>・主寝室は単独の1枝（④）。WICは脱衣と1枝を分け合う（⑤）。③はトイレ排気φ50（熱交換ユニットへ）で給気ではない。</t>
        </is>
      </c>
    </row>
    <row r="39">
      <c r="A39" s="12" t="inlineStr">
        <is>
          <t>・長さは図面の柱グリッド（910mmモジュールと仮定）から概算。立下り（2F天井→1F天井）は各1.0mと仮定。黄色セルは実測・確認で差し替え可。</t>
        </is>
      </c>
    </row>
    <row r="40">
      <c r="A40" s="12" t="inlineStr">
        <is>
          <t>・原単位（直管1.0Pa/m・曲がり1.5・分岐3.0・吹出3.0）は基準風量 Qr で成り立ち、各区間のΔPは風量の2乗に比例とした。</t>
        </is>
      </c>
    </row>
    <row r="41">
      <c r="A41" s="12" t="inlineStr">
        <is>
          <t>・配分＝チャンバー内の圧力が全枝で等しいとして、各枝の 1/√r の比で全風量を分ける。Y管の2脚も同じ考え方。</t>
        </is>
      </c>
    </row>
    <row r="42">
      <c r="A42" s="12" t="inlineStr">
        <is>
          <t>・注意：この簡易法は圧損の絶対値がメーカー計算（V-upⅢ）とずれることがある。使うのは「枝ごとの流れやすさの比較」。</t>
        </is>
      </c>
    </row>
    <row r="43">
      <c r="A43" s="12" t="inlineStr">
        <is>
          <t>・メーカー資料（計算書p25・p27）：DELIGHT FY-BKS081 のSA風量はノッチ1〜7で270〜700㎥/h、700㎥/h・200Paがシステム抵抗曲線上の最大点。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2026-10-11T10:24:15Z</dcterms:created>
  <dcterms:modified xmlns:dcterms="http://purl.org/dc/terms/" xmlns:xsi="http://www.w3.org/2001/XMLSchema-instance" xsi:type="dcterms:W3CDTF">2026-10-11T10:24:15Z</dcterms:modified>
</cp:coreProperties>
</file>